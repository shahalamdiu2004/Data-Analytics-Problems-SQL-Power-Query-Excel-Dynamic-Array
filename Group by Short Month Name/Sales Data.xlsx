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9. Video Content\2026\Excel Power Query SQL\Group by Short Month Name\"/>
    </mc:Choice>
  </mc:AlternateContent>
  <xr:revisionPtr revIDLastSave="0" documentId="13_ncr:1_{47BF86AF-94DC-4BBF-B7C5-CA21D606DA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XL" sheetId="2" r:id="rId1"/>
    <sheet name="PQ" sheetId="3" r:id="rId2"/>
  </sheets>
  <externalReferences>
    <externalReference r:id="rId3"/>
  </externalReferences>
  <definedNames>
    <definedName name="_xlnm._FilterDatabase" localSheetId="1" hidden="1">PQ!#REF!</definedName>
    <definedName name="_xlnm._FilterDatabase" localSheetId="0" hidden="1">XL!#REF!</definedName>
    <definedName name="commission">#REF!</definedName>
    <definedName name="Current_Balance">AVERAGE(#REF!)</definedName>
    <definedName name="Sales">#REF!</definedName>
    <definedName name="TV_Dashboard">INDEX([1]Chart!$B$2:$E$5,MATCH('[1]Dashboard on TV Screen'!$B$4,[1]Chart!$A$2:$A$5,0),MATCH('[1]Dashboard on TV Screen'!$B$3,[1]Chart!$B$1:$E$1,0))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 a="1"/>
  <c r="L2" i="2" s="1"/>
  <c r="I2" i="2" a="1"/>
  <c r="I2" i="2" s="1"/>
  <c r="F2" i="2" a="1"/>
  <c r="F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01D1CC-6E7C-4DC2-8109-1B84C0D3FE11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<sst xmlns="http://schemas.openxmlformats.org/spreadsheetml/2006/main" count="184" uniqueCount="9">
  <si>
    <t>Garments</t>
  </si>
  <si>
    <t>Software</t>
  </si>
  <si>
    <t>Transport</t>
  </si>
  <si>
    <t>Real Estate</t>
  </si>
  <si>
    <t>Food and Beverage</t>
  </si>
  <si>
    <t>sales_date</t>
  </si>
  <si>
    <t>dept_name</t>
  </si>
  <si>
    <t>sales_amount</t>
  </si>
  <si>
    <t>sl_no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</si>
</sst>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yyyy/mm/dd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2">
    <cellStyle name="Comma 2" xfId="1" xr:uid="{28B2A002-F0A6-438B-A1BB-DBB90D63E864}"/>
    <cellStyle name="Normal" xfId="0" builtinId="0"/>
  </cellStyles>
  <dxfs count="1">
    <dxf>
      <numFmt numFmtId="165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kkha\3.%20Dikkha\Training\Online%20Training\Dashboard%20Project\Dashboard\TV%20Screen\TV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ivot Table"/>
      <sheetName val="Chart"/>
      <sheetName val="Dashboard on TV Screen"/>
    </sheetNames>
    <sheetDataSet>
      <sheetData sheetId="0" refreshError="1"/>
      <sheetData sheetId="1" refreshError="1"/>
      <sheetData sheetId="2">
        <row r="1">
          <cell r="B1" t="str">
            <v>No of Customers</v>
          </cell>
          <cell r="C1" t="str">
            <v>Sales Amount</v>
          </cell>
          <cell r="D1" t="str">
            <v>Cost of Goods Sold</v>
          </cell>
          <cell r="E1" t="str">
            <v>Net Profit</v>
          </cell>
        </row>
        <row r="2">
          <cell r="A2" t="str">
            <v>Branch</v>
          </cell>
        </row>
        <row r="3">
          <cell r="A3" t="str">
            <v>Division</v>
          </cell>
        </row>
        <row r="4">
          <cell r="A4" t="str">
            <v>Department</v>
          </cell>
        </row>
        <row r="5">
          <cell r="A5" t="str">
            <v>Year</v>
          </cell>
        </row>
      </sheetData>
      <sheetData sheetId="3">
        <row r="3">
          <cell r="B3" t="str">
            <v>No of Customers</v>
          </cell>
        </row>
        <row r="4">
          <cell r="B4" t="str">
            <v>Branch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330990-EBB1-43DD-BD7B-FD4DBF4CBED4}" name="Table1" displayName="Table1" ref="A1:D89" totalsRowShown="0">
  <autoFilter ref="A1:D89" xr:uid="{FA330990-EBB1-43DD-BD7B-FD4DBF4CBED4}"/>
  <tableColumns count="4">
    <tableColumn id="1" xr3:uid="{3F10DDCF-0C0D-42A9-B943-90245650581D}" name="sl_no"/>
    <tableColumn id="2" xr3:uid="{9FC98072-377D-4DD9-929D-988D28821905}" name="sales_date" dataDxfId="0"/>
    <tableColumn id="3" xr3:uid="{874F4803-94B7-482E-A67B-5DC2FD05578A}" name="dept_name"/>
    <tableColumn id="4" xr3:uid="{4EA236ED-8F89-459B-8D42-BFFE2AEFF6E3}" name="sales_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9D613-D660-4470-937A-6C737B3FAC31}">
  <dimension ref="A1:M89"/>
  <sheetViews>
    <sheetView tabSelected="1" workbookViewId="0">
      <selection activeCell="I2" sqref="I2"/>
    </sheetView>
  </sheetViews>
  <sheetFormatPr defaultRowHeight="14.5" x14ac:dyDescent="0.35"/>
  <cols>
    <col min="2" max="2" width="11.54296875" bestFit="1" customWidth="1"/>
    <col min="3" max="3" width="16.81640625" bestFit="1" customWidth="1"/>
    <col min="4" max="4" width="12.7265625" bestFit="1" customWidth="1"/>
  </cols>
  <sheetData>
    <row r="1" spans="1:13" x14ac:dyDescent="0.35">
      <c r="A1" t="s">
        <v>8</v>
      </c>
      <c r="B1" t="s">
        <v>5</v>
      </c>
      <c r="C1" t="s">
        <v>6</v>
      </c>
      <c r="D1" t="s">
        <v>7</v>
      </c>
    </row>
    <row r="2" spans="1:13" x14ac:dyDescent="0.35">
      <c r="A2">
        <v>1</v>
      </c>
      <c r="B2" s="1">
        <v>45661</v>
      </c>
      <c r="C2" t="s">
        <v>3</v>
      </c>
      <c r="D2">
        <v>9.0299999999999994</v>
      </c>
      <c r="F2" t="str" cm="1">
        <f t="array" ref="F2:G13">_xlfn.DROP(_xlfn.GROUPBY(_xlfn.HSTACK(MONTH(B2:B89),TEXT(B2:B89,"mmm")),D2:D89,_xleta.SUM,0,0),,1)</f>
        <v>Jan</v>
      </c>
      <c r="G2">
        <v>536.89</v>
      </c>
      <c r="I2" t="str" cm="1">
        <f t="array" ref="I2:J13">_xlfn.DROP(_xlfn.GROUPBY(TEXT(B2:B89,{"mm","mmm"}),D2:D89,_xleta.SUM,0,0),,1)</f>
        <v>Jan</v>
      </c>
      <c r="J2">
        <v>536.89</v>
      </c>
      <c r="L2" t="str" cm="1">
        <f t="array" ref="L2:M13">_xlfn.DROP(_xlfn.GROUPBY(TEXT(B2:B89,{"mm","mmm"}),A2:A89,_xlfn.LAMBDA(_xlpm.x,SUM(IF(A2:A89&lt;=MAX(_xlpm.x),D2:D89,0)))),-1,1)</f>
        <v>Jan</v>
      </c>
      <c r="M2">
        <v>536.89</v>
      </c>
    </row>
    <row r="3" spans="1:13" x14ac:dyDescent="0.35">
      <c r="A3">
        <v>2</v>
      </c>
      <c r="B3" s="1">
        <v>45665</v>
      </c>
      <c r="C3" t="s">
        <v>1</v>
      </c>
      <c r="D3">
        <v>101.16</v>
      </c>
      <c r="F3" t="str">
        <v>Feb</v>
      </c>
      <c r="G3">
        <v>381.9</v>
      </c>
      <c r="I3" t="str">
        <v>Feb</v>
      </c>
      <c r="J3">
        <v>381.9</v>
      </c>
      <c r="L3" t="str">
        <v>Feb</v>
      </c>
      <c r="M3">
        <v>918.79000000000008</v>
      </c>
    </row>
    <row r="4" spans="1:13" x14ac:dyDescent="0.35">
      <c r="A4">
        <v>3</v>
      </c>
      <c r="B4" s="1">
        <v>45665</v>
      </c>
      <c r="C4" t="s">
        <v>2</v>
      </c>
      <c r="D4">
        <v>18.14</v>
      </c>
      <c r="F4" t="str">
        <v>Mar</v>
      </c>
      <c r="G4">
        <v>473.54</v>
      </c>
      <c r="I4" t="str">
        <v>Mar</v>
      </c>
      <c r="J4">
        <v>473.54</v>
      </c>
      <c r="L4" t="str">
        <v>Mar</v>
      </c>
      <c r="M4">
        <v>1392.33</v>
      </c>
    </row>
    <row r="5" spans="1:13" x14ac:dyDescent="0.35">
      <c r="A5">
        <v>4</v>
      </c>
      <c r="B5" s="1">
        <v>45670</v>
      </c>
      <c r="C5" t="s">
        <v>0</v>
      </c>
      <c r="D5">
        <v>7.85</v>
      </c>
      <c r="F5" t="str">
        <v>Apr</v>
      </c>
      <c r="G5">
        <v>468.44999999999993</v>
      </c>
      <c r="I5" t="str">
        <v>Apr</v>
      </c>
      <c r="J5">
        <v>468.44999999999993</v>
      </c>
      <c r="L5" t="str">
        <v>Apr</v>
      </c>
      <c r="M5">
        <v>1860.78</v>
      </c>
    </row>
    <row r="6" spans="1:13" x14ac:dyDescent="0.35">
      <c r="A6">
        <v>5</v>
      </c>
      <c r="B6" s="1">
        <v>45671</v>
      </c>
      <c r="C6" t="s">
        <v>0</v>
      </c>
      <c r="D6">
        <v>13.36</v>
      </c>
      <c r="F6" t="str">
        <v>May</v>
      </c>
      <c r="G6">
        <v>594.93000000000006</v>
      </c>
      <c r="I6" t="str">
        <v>May</v>
      </c>
      <c r="J6">
        <v>594.93000000000006</v>
      </c>
      <c r="L6" t="str">
        <v>May</v>
      </c>
      <c r="M6">
        <v>2455.7099999999996</v>
      </c>
    </row>
    <row r="7" spans="1:13" x14ac:dyDescent="0.35">
      <c r="A7">
        <v>6</v>
      </c>
      <c r="B7" s="1">
        <v>45672</v>
      </c>
      <c r="C7" t="s">
        <v>0</v>
      </c>
      <c r="D7">
        <v>13.64</v>
      </c>
      <c r="F7" t="str">
        <v>Jun</v>
      </c>
      <c r="G7">
        <v>127.67</v>
      </c>
      <c r="I7" t="str">
        <v>Jun</v>
      </c>
      <c r="J7">
        <v>127.67</v>
      </c>
      <c r="L7" t="str">
        <v>Jun</v>
      </c>
      <c r="M7">
        <v>2583.3799999999997</v>
      </c>
    </row>
    <row r="8" spans="1:13" x14ac:dyDescent="0.35">
      <c r="A8">
        <v>7</v>
      </c>
      <c r="B8" s="1">
        <v>45675</v>
      </c>
      <c r="C8" t="s">
        <v>4</v>
      </c>
      <c r="D8">
        <v>63.73</v>
      </c>
      <c r="F8" t="str">
        <v>Jul</v>
      </c>
      <c r="G8">
        <v>350.4</v>
      </c>
      <c r="I8" t="str">
        <v>Jul</v>
      </c>
      <c r="J8">
        <v>350.4</v>
      </c>
      <c r="L8" t="str">
        <v>Jul</v>
      </c>
      <c r="M8">
        <v>2933.7799999999997</v>
      </c>
    </row>
    <row r="9" spans="1:13" x14ac:dyDescent="0.35">
      <c r="A9">
        <v>8</v>
      </c>
      <c r="B9" s="1">
        <v>45676</v>
      </c>
      <c r="C9" t="s">
        <v>4</v>
      </c>
      <c r="D9">
        <v>73.89</v>
      </c>
      <c r="F9" t="str">
        <v>Aug</v>
      </c>
      <c r="G9">
        <v>349.28</v>
      </c>
      <c r="I9" t="str">
        <v>Aug</v>
      </c>
      <c r="J9">
        <v>349.28</v>
      </c>
      <c r="L9" t="str">
        <v>Aug</v>
      </c>
      <c r="M9">
        <v>3283.06</v>
      </c>
    </row>
    <row r="10" spans="1:13" x14ac:dyDescent="0.35">
      <c r="A10">
        <v>9</v>
      </c>
      <c r="B10" s="1">
        <v>45676</v>
      </c>
      <c r="C10" t="s">
        <v>1</v>
      </c>
      <c r="D10">
        <v>84.25</v>
      </c>
      <c r="F10" t="str">
        <v>Sep</v>
      </c>
      <c r="G10">
        <v>714.11999999999989</v>
      </c>
      <c r="I10" t="str">
        <v>Sep</v>
      </c>
      <c r="J10">
        <v>714.11999999999989</v>
      </c>
      <c r="L10" t="str">
        <v>Sep</v>
      </c>
      <c r="M10">
        <v>3997.1800000000007</v>
      </c>
    </row>
    <row r="11" spans="1:13" x14ac:dyDescent="0.35">
      <c r="A11">
        <v>10</v>
      </c>
      <c r="B11" s="1">
        <v>45677</v>
      </c>
      <c r="C11" t="s">
        <v>3</v>
      </c>
      <c r="D11">
        <v>36.82</v>
      </c>
      <c r="F11" t="str">
        <v>Oct</v>
      </c>
      <c r="G11">
        <v>540.12</v>
      </c>
      <c r="I11" t="str">
        <v>Oct</v>
      </c>
      <c r="J11">
        <v>540.12</v>
      </c>
      <c r="L11" t="str">
        <v>Oct</v>
      </c>
      <c r="M11">
        <v>4537.300000000002</v>
      </c>
    </row>
    <row r="12" spans="1:13" x14ac:dyDescent="0.35">
      <c r="A12">
        <v>11</v>
      </c>
      <c r="B12" s="1">
        <v>45679</v>
      </c>
      <c r="C12" t="s">
        <v>3</v>
      </c>
      <c r="D12">
        <v>55.42</v>
      </c>
      <c r="F12" t="str">
        <v>Nov</v>
      </c>
      <c r="G12">
        <v>192.76</v>
      </c>
      <c r="I12" t="str">
        <v>Nov</v>
      </c>
      <c r="J12">
        <v>192.76</v>
      </c>
      <c r="L12" t="str">
        <v>Nov</v>
      </c>
      <c r="M12">
        <v>4730.0600000000013</v>
      </c>
    </row>
    <row r="13" spans="1:13" x14ac:dyDescent="0.35">
      <c r="A13">
        <v>12</v>
      </c>
      <c r="B13" s="1">
        <v>45680</v>
      </c>
      <c r="C13" t="s">
        <v>4</v>
      </c>
      <c r="D13">
        <v>59.6</v>
      </c>
      <c r="F13" t="str">
        <v>Dec</v>
      </c>
      <c r="G13">
        <v>587.76</v>
      </c>
      <c r="I13" t="str">
        <v>Dec</v>
      </c>
      <c r="J13">
        <v>587.76</v>
      </c>
      <c r="L13" t="str">
        <v>Dec</v>
      </c>
      <c r="M13">
        <v>5317.8200000000015</v>
      </c>
    </row>
    <row r="14" spans="1:13" x14ac:dyDescent="0.35">
      <c r="A14">
        <v>13</v>
      </c>
      <c r="B14" s="1">
        <v>45689</v>
      </c>
      <c r="C14" t="s">
        <v>2</v>
      </c>
      <c r="D14">
        <v>102.13</v>
      </c>
    </row>
    <row r="15" spans="1:13" x14ac:dyDescent="0.35">
      <c r="A15">
        <v>14</v>
      </c>
      <c r="B15" s="1">
        <v>45690</v>
      </c>
      <c r="C15" t="s">
        <v>3</v>
      </c>
      <c r="D15">
        <v>12.69</v>
      </c>
    </row>
    <row r="16" spans="1:13" x14ac:dyDescent="0.35">
      <c r="A16">
        <v>15</v>
      </c>
      <c r="B16" s="1">
        <v>45696</v>
      </c>
      <c r="C16" t="s">
        <v>0</v>
      </c>
      <c r="D16">
        <v>11.35</v>
      </c>
    </row>
    <row r="17" spans="1:4" x14ac:dyDescent="0.35">
      <c r="A17">
        <v>16</v>
      </c>
      <c r="B17" s="1">
        <v>45698</v>
      </c>
      <c r="C17" t="s">
        <v>1</v>
      </c>
      <c r="D17">
        <v>120.43</v>
      </c>
    </row>
    <row r="18" spans="1:4" x14ac:dyDescent="0.35">
      <c r="A18">
        <v>17</v>
      </c>
      <c r="B18" s="1">
        <v>45704</v>
      </c>
      <c r="C18" t="s">
        <v>2</v>
      </c>
      <c r="D18">
        <v>114.11</v>
      </c>
    </row>
    <row r="19" spans="1:4" x14ac:dyDescent="0.35">
      <c r="A19">
        <v>18</v>
      </c>
      <c r="B19" s="1">
        <v>45711</v>
      </c>
      <c r="C19" t="s">
        <v>0</v>
      </c>
      <c r="D19">
        <v>21.19</v>
      </c>
    </row>
    <row r="20" spans="1:4" x14ac:dyDescent="0.35">
      <c r="A20">
        <v>19</v>
      </c>
      <c r="B20" s="1">
        <v>45720</v>
      </c>
      <c r="C20" t="s">
        <v>3</v>
      </c>
      <c r="D20">
        <v>53.41</v>
      </c>
    </row>
    <row r="21" spans="1:4" x14ac:dyDescent="0.35">
      <c r="A21">
        <v>20</v>
      </c>
      <c r="B21" s="1">
        <v>45720</v>
      </c>
      <c r="C21" t="s">
        <v>4</v>
      </c>
      <c r="D21">
        <v>76.42</v>
      </c>
    </row>
    <row r="22" spans="1:4" x14ac:dyDescent="0.35">
      <c r="A22">
        <v>21</v>
      </c>
      <c r="B22" s="1">
        <v>45731</v>
      </c>
      <c r="C22" t="s">
        <v>4</v>
      </c>
      <c r="D22">
        <v>63.75</v>
      </c>
    </row>
    <row r="23" spans="1:4" x14ac:dyDescent="0.35">
      <c r="A23">
        <v>22</v>
      </c>
      <c r="B23" s="1">
        <v>45731</v>
      </c>
      <c r="C23" t="s">
        <v>3</v>
      </c>
      <c r="D23">
        <v>36.82</v>
      </c>
    </row>
    <row r="24" spans="1:4" x14ac:dyDescent="0.35">
      <c r="A24">
        <v>23</v>
      </c>
      <c r="B24" s="1">
        <v>45735</v>
      </c>
      <c r="C24" t="s">
        <v>3</v>
      </c>
      <c r="D24">
        <v>38.75</v>
      </c>
    </row>
    <row r="25" spans="1:4" x14ac:dyDescent="0.35">
      <c r="A25">
        <v>24</v>
      </c>
      <c r="B25" s="1">
        <v>45737</v>
      </c>
      <c r="C25" t="s">
        <v>4</v>
      </c>
      <c r="D25">
        <v>96.09</v>
      </c>
    </row>
    <row r="26" spans="1:4" x14ac:dyDescent="0.35">
      <c r="A26">
        <v>25</v>
      </c>
      <c r="B26" s="1">
        <v>45739</v>
      </c>
      <c r="C26" t="s">
        <v>2</v>
      </c>
      <c r="D26">
        <v>108.3</v>
      </c>
    </row>
    <row r="27" spans="1:4" x14ac:dyDescent="0.35">
      <c r="A27">
        <v>26</v>
      </c>
      <c r="B27" s="1">
        <v>45749</v>
      </c>
      <c r="C27" t="s">
        <v>0</v>
      </c>
      <c r="D27">
        <v>21.98</v>
      </c>
    </row>
    <row r="28" spans="1:4" x14ac:dyDescent="0.35">
      <c r="A28">
        <v>27</v>
      </c>
      <c r="B28" s="1">
        <v>45751</v>
      </c>
      <c r="C28" t="s">
        <v>1</v>
      </c>
      <c r="D28">
        <v>127.07</v>
      </c>
    </row>
    <row r="29" spans="1:4" x14ac:dyDescent="0.35">
      <c r="A29">
        <v>28</v>
      </c>
      <c r="B29" s="1">
        <v>45751</v>
      </c>
      <c r="C29" t="s">
        <v>0</v>
      </c>
      <c r="D29">
        <v>11.71</v>
      </c>
    </row>
    <row r="30" spans="1:4" x14ac:dyDescent="0.35">
      <c r="A30">
        <v>29</v>
      </c>
      <c r="B30" s="1">
        <v>45758</v>
      </c>
      <c r="C30" t="s">
        <v>2</v>
      </c>
      <c r="D30">
        <v>117.69</v>
      </c>
    </row>
    <row r="31" spans="1:4" x14ac:dyDescent="0.35">
      <c r="A31">
        <v>30</v>
      </c>
      <c r="B31" s="1">
        <v>45761</v>
      </c>
      <c r="C31" t="s">
        <v>2</v>
      </c>
      <c r="D31">
        <v>92.35</v>
      </c>
    </row>
    <row r="32" spans="1:4" x14ac:dyDescent="0.35">
      <c r="A32">
        <v>31</v>
      </c>
      <c r="B32" s="1">
        <v>45770</v>
      </c>
      <c r="C32" t="s">
        <v>4</v>
      </c>
      <c r="D32">
        <v>97.65</v>
      </c>
    </row>
    <row r="33" spans="1:4" x14ac:dyDescent="0.35">
      <c r="A33">
        <v>32</v>
      </c>
      <c r="B33" s="1">
        <v>45778</v>
      </c>
      <c r="C33" t="s">
        <v>4</v>
      </c>
      <c r="D33">
        <v>30.14</v>
      </c>
    </row>
    <row r="34" spans="1:4" x14ac:dyDescent="0.35">
      <c r="A34">
        <v>33</v>
      </c>
      <c r="B34" s="1">
        <v>45779</v>
      </c>
      <c r="C34" t="s">
        <v>1</v>
      </c>
      <c r="D34">
        <v>107.58</v>
      </c>
    </row>
    <row r="35" spans="1:4" x14ac:dyDescent="0.35">
      <c r="A35">
        <v>34</v>
      </c>
      <c r="B35" s="1">
        <v>45783</v>
      </c>
      <c r="C35" t="s">
        <v>4</v>
      </c>
      <c r="D35">
        <v>86.43</v>
      </c>
    </row>
    <row r="36" spans="1:4" x14ac:dyDescent="0.35">
      <c r="A36">
        <v>35</v>
      </c>
      <c r="B36" s="1">
        <v>45786</v>
      </c>
      <c r="C36" t="s">
        <v>4</v>
      </c>
      <c r="D36">
        <v>76.19</v>
      </c>
    </row>
    <row r="37" spans="1:4" x14ac:dyDescent="0.35">
      <c r="A37">
        <v>36</v>
      </c>
      <c r="B37" s="1">
        <v>45791</v>
      </c>
      <c r="C37" t="s">
        <v>2</v>
      </c>
      <c r="D37">
        <v>30.38</v>
      </c>
    </row>
    <row r="38" spans="1:4" x14ac:dyDescent="0.35">
      <c r="A38">
        <v>37</v>
      </c>
      <c r="B38" s="1">
        <v>45791</v>
      </c>
      <c r="C38" t="s">
        <v>0</v>
      </c>
      <c r="D38">
        <v>21.66</v>
      </c>
    </row>
    <row r="39" spans="1:4" x14ac:dyDescent="0.35">
      <c r="A39">
        <v>38</v>
      </c>
      <c r="B39" s="1">
        <v>45797</v>
      </c>
      <c r="C39" t="s">
        <v>2</v>
      </c>
      <c r="D39">
        <v>109.58</v>
      </c>
    </row>
    <row r="40" spans="1:4" x14ac:dyDescent="0.35">
      <c r="A40">
        <v>39</v>
      </c>
      <c r="B40" s="1">
        <v>45799</v>
      </c>
      <c r="C40" t="s">
        <v>3</v>
      </c>
      <c r="D40">
        <v>35.18</v>
      </c>
    </row>
    <row r="41" spans="1:4" x14ac:dyDescent="0.35">
      <c r="A41">
        <v>40</v>
      </c>
      <c r="B41" s="1">
        <v>45800</v>
      </c>
      <c r="C41" t="s">
        <v>3</v>
      </c>
      <c r="D41">
        <v>5.49</v>
      </c>
    </row>
    <row r="42" spans="1:4" x14ac:dyDescent="0.35">
      <c r="A42">
        <v>41</v>
      </c>
      <c r="B42" s="1">
        <v>45801</v>
      </c>
      <c r="C42" t="s">
        <v>0</v>
      </c>
      <c r="D42">
        <v>2.48</v>
      </c>
    </row>
    <row r="43" spans="1:4" x14ac:dyDescent="0.35">
      <c r="A43">
        <v>42</v>
      </c>
      <c r="B43" s="1">
        <v>45802</v>
      </c>
      <c r="C43" t="s">
        <v>1</v>
      </c>
      <c r="D43">
        <v>89.82</v>
      </c>
    </row>
    <row r="44" spans="1:4" x14ac:dyDescent="0.35">
      <c r="A44">
        <v>43</v>
      </c>
      <c r="B44" s="1">
        <v>45822</v>
      </c>
      <c r="C44" t="s">
        <v>1</v>
      </c>
      <c r="D44">
        <v>127.67</v>
      </c>
    </row>
    <row r="45" spans="1:4" x14ac:dyDescent="0.35">
      <c r="A45">
        <v>44</v>
      </c>
      <c r="B45" s="1">
        <v>45840</v>
      </c>
      <c r="C45" t="s">
        <v>3</v>
      </c>
      <c r="D45">
        <v>51.47</v>
      </c>
    </row>
    <row r="46" spans="1:4" x14ac:dyDescent="0.35">
      <c r="A46">
        <v>45</v>
      </c>
      <c r="B46" s="1">
        <v>45842</v>
      </c>
      <c r="C46" t="s">
        <v>1</v>
      </c>
      <c r="D46">
        <v>59.09</v>
      </c>
    </row>
    <row r="47" spans="1:4" x14ac:dyDescent="0.35">
      <c r="A47">
        <v>46</v>
      </c>
      <c r="B47" s="1">
        <v>45844</v>
      </c>
      <c r="C47" t="s">
        <v>3</v>
      </c>
      <c r="D47">
        <v>44.29</v>
      </c>
    </row>
    <row r="48" spans="1:4" x14ac:dyDescent="0.35">
      <c r="A48">
        <v>47</v>
      </c>
      <c r="B48" s="1">
        <v>45848</v>
      </c>
      <c r="C48" t="s">
        <v>2</v>
      </c>
      <c r="D48">
        <v>104.96</v>
      </c>
    </row>
    <row r="49" spans="1:4" x14ac:dyDescent="0.35">
      <c r="A49">
        <v>48</v>
      </c>
      <c r="B49" s="1">
        <v>45859</v>
      </c>
      <c r="C49" t="s">
        <v>2</v>
      </c>
      <c r="D49">
        <v>90.59</v>
      </c>
    </row>
    <row r="50" spans="1:4" x14ac:dyDescent="0.35">
      <c r="A50">
        <v>49</v>
      </c>
      <c r="B50" s="1">
        <v>45873</v>
      </c>
      <c r="C50" t="s">
        <v>1</v>
      </c>
      <c r="D50">
        <v>107.81</v>
      </c>
    </row>
    <row r="51" spans="1:4" x14ac:dyDescent="0.35">
      <c r="A51">
        <v>50</v>
      </c>
      <c r="B51" s="1">
        <v>45883</v>
      </c>
      <c r="C51" t="s">
        <v>4</v>
      </c>
      <c r="D51">
        <v>6.83</v>
      </c>
    </row>
    <row r="52" spans="1:4" x14ac:dyDescent="0.35">
      <c r="A52">
        <v>51</v>
      </c>
      <c r="B52" s="1">
        <v>45885</v>
      </c>
      <c r="C52" t="s">
        <v>1</v>
      </c>
      <c r="D52">
        <v>127.13</v>
      </c>
    </row>
    <row r="53" spans="1:4" x14ac:dyDescent="0.35">
      <c r="A53">
        <v>52</v>
      </c>
      <c r="B53" s="1">
        <v>45891</v>
      </c>
      <c r="C53" t="s">
        <v>3</v>
      </c>
      <c r="D53">
        <v>41.11</v>
      </c>
    </row>
    <row r="54" spans="1:4" x14ac:dyDescent="0.35">
      <c r="A54">
        <v>53</v>
      </c>
      <c r="B54" s="1">
        <v>45893</v>
      </c>
      <c r="C54" t="s">
        <v>4</v>
      </c>
      <c r="D54">
        <v>66.400000000000006</v>
      </c>
    </row>
    <row r="55" spans="1:4" x14ac:dyDescent="0.35">
      <c r="A55">
        <v>54</v>
      </c>
      <c r="B55" s="1">
        <v>45903</v>
      </c>
      <c r="C55" t="s">
        <v>3</v>
      </c>
      <c r="D55">
        <v>59.34</v>
      </c>
    </row>
    <row r="56" spans="1:4" x14ac:dyDescent="0.35">
      <c r="A56">
        <v>55</v>
      </c>
      <c r="B56" s="1">
        <v>45905</v>
      </c>
      <c r="C56" t="s">
        <v>3</v>
      </c>
      <c r="D56">
        <v>52.67</v>
      </c>
    </row>
    <row r="57" spans="1:4" x14ac:dyDescent="0.35">
      <c r="A57">
        <v>56</v>
      </c>
      <c r="B57" s="1">
        <v>45907</v>
      </c>
      <c r="C57" t="s">
        <v>0</v>
      </c>
      <c r="D57">
        <v>12.64</v>
      </c>
    </row>
    <row r="58" spans="1:4" x14ac:dyDescent="0.35">
      <c r="A58">
        <v>57</v>
      </c>
      <c r="B58" s="1">
        <v>45907</v>
      </c>
      <c r="C58" t="s">
        <v>4</v>
      </c>
      <c r="D58">
        <v>3.07</v>
      </c>
    </row>
    <row r="59" spans="1:4" x14ac:dyDescent="0.35">
      <c r="A59">
        <v>58</v>
      </c>
      <c r="B59" s="1">
        <v>45914</v>
      </c>
      <c r="C59" t="s">
        <v>1</v>
      </c>
      <c r="D59">
        <v>86.13</v>
      </c>
    </row>
    <row r="60" spans="1:4" x14ac:dyDescent="0.35">
      <c r="A60">
        <v>59</v>
      </c>
      <c r="B60" s="1">
        <v>45915</v>
      </c>
      <c r="C60" t="s">
        <v>4</v>
      </c>
      <c r="D60">
        <v>59.92</v>
      </c>
    </row>
    <row r="61" spans="1:4" x14ac:dyDescent="0.35">
      <c r="A61">
        <v>60</v>
      </c>
      <c r="B61" s="1">
        <v>45916</v>
      </c>
      <c r="C61" t="s">
        <v>2</v>
      </c>
      <c r="D61">
        <v>99.68</v>
      </c>
    </row>
    <row r="62" spans="1:4" x14ac:dyDescent="0.35">
      <c r="A62">
        <v>61</v>
      </c>
      <c r="B62" s="1">
        <v>45916</v>
      </c>
      <c r="C62" t="s">
        <v>2</v>
      </c>
      <c r="D62">
        <v>76.59</v>
      </c>
    </row>
    <row r="63" spans="1:4" x14ac:dyDescent="0.35">
      <c r="A63">
        <v>62</v>
      </c>
      <c r="B63" s="1">
        <v>45916</v>
      </c>
      <c r="C63" t="s">
        <v>2</v>
      </c>
      <c r="D63">
        <v>73.819999999999993</v>
      </c>
    </row>
    <row r="64" spans="1:4" x14ac:dyDescent="0.35">
      <c r="A64">
        <v>63</v>
      </c>
      <c r="B64" s="1">
        <v>45917</v>
      </c>
      <c r="C64" t="s">
        <v>2</v>
      </c>
      <c r="D64">
        <v>107.26</v>
      </c>
    </row>
    <row r="65" spans="1:4" x14ac:dyDescent="0.35">
      <c r="A65">
        <v>64</v>
      </c>
      <c r="B65" s="1">
        <v>45925</v>
      </c>
      <c r="C65" t="s">
        <v>4</v>
      </c>
      <c r="D65">
        <v>83</v>
      </c>
    </row>
    <row r="66" spans="1:4" x14ac:dyDescent="0.35">
      <c r="A66">
        <v>65</v>
      </c>
      <c r="B66" s="1">
        <v>45933</v>
      </c>
      <c r="C66" t="s">
        <v>2</v>
      </c>
      <c r="D66">
        <v>72.84</v>
      </c>
    </row>
    <row r="67" spans="1:4" x14ac:dyDescent="0.35">
      <c r="A67">
        <v>66</v>
      </c>
      <c r="B67" s="1">
        <v>45938</v>
      </c>
      <c r="C67" t="s">
        <v>4</v>
      </c>
      <c r="D67">
        <v>87.58</v>
      </c>
    </row>
    <row r="68" spans="1:4" x14ac:dyDescent="0.35">
      <c r="A68">
        <v>67</v>
      </c>
      <c r="B68" s="1">
        <v>45939</v>
      </c>
      <c r="C68" t="s">
        <v>0</v>
      </c>
      <c r="D68">
        <v>14.02</v>
      </c>
    </row>
    <row r="69" spans="1:4" x14ac:dyDescent="0.35">
      <c r="A69">
        <v>68</v>
      </c>
      <c r="B69" s="1">
        <v>45941</v>
      </c>
      <c r="C69" t="s">
        <v>0</v>
      </c>
      <c r="D69">
        <v>4.59</v>
      </c>
    </row>
    <row r="70" spans="1:4" x14ac:dyDescent="0.35">
      <c r="A70">
        <v>69</v>
      </c>
      <c r="B70" s="1">
        <v>45941</v>
      </c>
      <c r="C70" t="s">
        <v>3</v>
      </c>
      <c r="D70">
        <v>65.67</v>
      </c>
    </row>
    <row r="71" spans="1:4" x14ac:dyDescent="0.35">
      <c r="A71">
        <v>70</v>
      </c>
      <c r="B71" s="1">
        <v>45942</v>
      </c>
      <c r="C71" t="s">
        <v>3</v>
      </c>
      <c r="D71">
        <v>64.53</v>
      </c>
    </row>
    <row r="72" spans="1:4" x14ac:dyDescent="0.35">
      <c r="A72">
        <v>71</v>
      </c>
      <c r="B72" s="1">
        <v>45943</v>
      </c>
      <c r="C72" t="s">
        <v>1</v>
      </c>
      <c r="D72">
        <v>60.94</v>
      </c>
    </row>
    <row r="73" spans="1:4" x14ac:dyDescent="0.35">
      <c r="A73">
        <v>72</v>
      </c>
      <c r="B73" s="1">
        <v>45947</v>
      </c>
      <c r="C73" t="s">
        <v>1</v>
      </c>
      <c r="D73">
        <v>118.39</v>
      </c>
    </row>
    <row r="74" spans="1:4" x14ac:dyDescent="0.35">
      <c r="A74">
        <v>73</v>
      </c>
      <c r="B74" s="1">
        <v>45950</v>
      </c>
      <c r="C74" t="s">
        <v>3</v>
      </c>
      <c r="D74">
        <v>40.79</v>
      </c>
    </row>
    <row r="75" spans="1:4" x14ac:dyDescent="0.35">
      <c r="A75">
        <v>74</v>
      </c>
      <c r="B75" s="1">
        <v>45950</v>
      </c>
      <c r="C75" t="s">
        <v>0</v>
      </c>
      <c r="D75">
        <v>10.77</v>
      </c>
    </row>
    <row r="76" spans="1:4" x14ac:dyDescent="0.35">
      <c r="A76">
        <v>75</v>
      </c>
      <c r="B76" s="1">
        <v>45967</v>
      </c>
      <c r="C76" t="s">
        <v>1</v>
      </c>
      <c r="D76">
        <v>36.229999999999997</v>
      </c>
    </row>
    <row r="77" spans="1:4" x14ac:dyDescent="0.35">
      <c r="A77">
        <v>76</v>
      </c>
      <c r="B77" s="1">
        <v>45978</v>
      </c>
      <c r="C77" t="s">
        <v>2</v>
      </c>
      <c r="D77">
        <v>20.9</v>
      </c>
    </row>
    <row r="78" spans="1:4" x14ac:dyDescent="0.35">
      <c r="A78">
        <v>77</v>
      </c>
      <c r="B78" s="1">
        <v>45980</v>
      </c>
      <c r="C78" t="s">
        <v>0</v>
      </c>
      <c r="D78">
        <v>19.05</v>
      </c>
    </row>
    <row r="79" spans="1:4" x14ac:dyDescent="0.35">
      <c r="A79">
        <v>78</v>
      </c>
      <c r="B79" s="1">
        <v>45981</v>
      </c>
      <c r="C79" t="s">
        <v>1</v>
      </c>
      <c r="D79">
        <v>116.58</v>
      </c>
    </row>
    <row r="80" spans="1:4" x14ac:dyDescent="0.35">
      <c r="A80">
        <v>79</v>
      </c>
      <c r="B80" s="1">
        <v>45993</v>
      </c>
      <c r="C80" t="s">
        <v>1</v>
      </c>
      <c r="D80">
        <v>10.74</v>
      </c>
    </row>
    <row r="81" spans="1:4" x14ac:dyDescent="0.35">
      <c r="A81">
        <v>80</v>
      </c>
      <c r="B81" s="1">
        <v>46002</v>
      </c>
      <c r="C81" t="s">
        <v>0</v>
      </c>
      <c r="D81">
        <v>1.0900000000000001</v>
      </c>
    </row>
    <row r="82" spans="1:4" x14ac:dyDescent="0.35">
      <c r="A82">
        <v>81</v>
      </c>
      <c r="B82" s="1">
        <v>46005</v>
      </c>
      <c r="C82" t="s">
        <v>1</v>
      </c>
      <c r="D82">
        <v>110.39</v>
      </c>
    </row>
    <row r="83" spans="1:4" x14ac:dyDescent="0.35">
      <c r="A83">
        <v>82</v>
      </c>
      <c r="B83" s="1">
        <v>46007</v>
      </c>
      <c r="C83" t="s">
        <v>3</v>
      </c>
      <c r="D83">
        <v>62.38</v>
      </c>
    </row>
    <row r="84" spans="1:4" x14ac:dyDescent="0.35">
      <c r="A84">
        <v>83</v>
      </c>
      <c r="B84" s="1">
        <v>46008</v>
      </c>
      <c r="C84" t="s">
        <v>1</v>
      </c>
      <c r="D84">
        <v>10.19</v>
      </c>
    </row>
    <row r="85" spans="1:4" x14ac:dyDescent="0.35">
      <c r="A85">
        <v>84</v>
      </c>
      <c r="B85" s="1">
        <v>46009</v>
      </c>
      <c r="C85" t="s">
        <v>0</v>
      </c>
      <c r="D85">
        <v>15.15</v>
      </c>
    </row>
    <row r="86" spans="1:4" x14ac:dyDescent="0.35">
      <c r="A86">
        <v>85</v>
      </c>
      <c r="B86" s="1">
        <v>46010</v>
      </c>
      <c r="C86" t="s">
        <v>2</v>
      </c>
      <c r="D86">
        <v>65.11</v>
      </c>
    </row>
    <row r="87" spans="1:4" x14ac:dyDescent="0.35">
      <c r="A87">
        <v>86</v>
      </c>
      <c r="B87" s="1">
        <v>46014</v>
      </c>
      <c r="C87" t="s">
        <v>2</v>
      </c>
      <c r="D87">
        <v>110.76</v>
      </c>
    </row>
    <row r="88" spans="1:4" x14ac:dyDescent="0.35">
      <c r="A88">
        <v>87</v>
      </c>
      <c r="B88" s="1">
        <v>46014</v>
      </c>
      <c r="C88" t="s">
        <v>4</v>
      </c>
      <c r="D88">
        <v>86.68</v>
      </c>
    </row>
    <row r="89" spans="1:4" x14ac:dyDescent="0.35">
      <c r="A89">
        <v>88</v>
      </c>
      <c r="B89" s="1">
        <v>46016</v>
      </c>
      <c r="C89" t="s">
        <v>4</v>
      </c>
      <c r="D89">
        <v>115.27</v>
      </c>
    </row>
  </sheetData>
  <sortState xmlns:xlrd2="http://schemas.microsoft.com/office/spreadsheetml/2017/richdata2" ref="B2:D89">
    <sortCondition ref="B2:B8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1DEE8-1356-4E8D-807E-DAB214C1AA98}">
  <dimension ref="A1:D89"/>
  <sheetViews>
    <sheetView workbookViewId="0">
      <selection activeCell="B3" sqref="B3"/>
    </sheetView>
  </sheetViews>
  <sheetFormatPr defaultRowHeight="14.5" x14ac:dyDescent="0.35"/>
  <cols>
    <col min="2" max="2" width="11.7265625" customWidth="1"/>
    <col min="3" max="3" width="16.81640625" bestFit="1" customWidth="1"/>
    <col min="4" max="4" width="14.54296875" customWidth="1"/>
  </cols>
  <sheetData>
    <row r="1" spans="1:4" x14ac:dyDescent="0.35">
      <c r="A1" t="s">
        <v>8</v>
      </c>
      <c r="B1" t="s">
        <v>5</v>
      </c>
      <c r="C1" t="s">
        <v>6</v>
      </c>
      <c r="D1" t="s">
        <v>7</v>
      </c>
    </row>
    <row r="2" spans="1:4" x14ac:dyDescent="0.35">
      <c r="A2">
        <v>1</v>
      </c>
      <c r="B2" s="1">
        <v>45661</v>
      </c>
      <c r="C2" t="s">
        <v>3</v>
      </c>
      <c r="D2">
        <v>9.0299999999999994</v>
      </c>
    </row>
    <row r="3" spans="1:4" x14ac:dyDescent="0.35">
      <c r="A3">
        <v>2</v>
      </c>
      <c r="B3" s="1">
        <v>45665</v>
      </c>
      <c r="C3" t="s">
        <v>1</v>
      </c>
      <c r="D3">
        <v>101.16</v>
      </c>
    </row>
    <row r="4" spans="1:4" x14ac:dyDescent="0.35">
      <c r="A4">
        <v>3</v>
      </c>
      <c r="B4" s="1">
        <v>45665</v>
      </c>
      <c r="C4" t="s">
        <v>2</v>
      </c>
      <c r="D4">
        <v>18.14</v>
      </c>
    </row>
    <row r="5" spans="1:4" x14ac:dyDescent="0.35">
      <c r="A5">
        <v>4</v>
      </c>
      <c r="B5" s="1">
        <v>45670</v>
      </c>
      <c r="C5" t="s">
        <v>0</v>
      </c>
      <c r="D5">
        <v>7.85</v>
      </c>
    </row>
    <row r="6" spans="1:4" x14ac:dyDescent="0.35">
      <c r="A6">
        <v>5</v>
      </c>
      <c r="B6" s="1">
        <v>45671</v>
      </c>
      <c r="C6" t="s">
        <v>0</v>
      </c>
      <c r="D6">
        <v>13.36</v>
      </c>
    </row>
    <row r="7" spans="1:4" x14ac:dyDescent="0.35">
      <c r="A7">
        <v>6</v>
      </c>
      <c r="B7" s="1">
        <v>45672</v>
      </c>
      <c r="C7" t="s">
        <v>0</v>
      </c>
      <c r="D7">
        <v>13.64</v>
      </c>
    </row>
    <row r="8" spans="1:4" x14ac:dyDescent="0.35">
      <c r="A8">
        <v>7</v>
      </c>
      <c r="B8" s="1">
        <v>45675</v>
      </c>
      <c r="C8" t="s">
        <v>4</v>
      </c>
      <c r="D8">
        <v>63.73</v>
      </c>
    </row>
    <row r="9" spans="1:4" x14ac:dyDescent="0.35">
      <c r="A9">
        <v>8</v>
      </c>
      <c r="B9" s="1">
        <v>45676</v>
      </c>
      <c r="C9" t="s">
        <v>4</v>
      </c>
      <c r="D9">
        <v>73.89</v>
      </c>
    </row>
    <row r="10" spans="1:4" x14ac:dyDescent="0.35">
      <c r="A10">
        <v>9</v>
      </c>
      <c r="B10" s="1">
        <v>45676</v>
      </c>
      <c r="C10" t="s">
        <v>1</v>
      </c>
      <c r="D10">
        <v>84.25</v>
      </c>
    </row>
    <row r="11" spans="1:4" x14ac:dyDescent="0.35">
      <c r="A11">
        <v>10</v>
      </c>
      <c r="B11" s="1">
        <v>45677</v>
      </c>
      <c r="C11" t="s">
        <v>3</v>
      </c>
      <c r="D11">
        <v>36.82</v>
      </c>
    </row>
    <row r="12" spans="1:4" x14ac:dyDescent="0.35">
      <c r="A12">
        <v>11</v>
      </c>
      <c r="B12" s="1">
        <v>45679</v>
      </c>
      <c r="C12" t="s">
        <v>3</v>
      </c>
      <c r="D12">
        <v>55.42</v>
      </c>
    </row>
    <row r="13" spans="1:4" x14ac:dyDescent="0.35">
      <c r="A13">
        <v>12</v>
      </c>
      <c r="B13" s="1">
        <v>45680</v>
      </c>
      <c r="C13" t="s">
        <v>4</v>
      </c>
      <c r="D13">
        <v>59.6</v>
      </c>
    </row>
    <row r="14" spans="1:4" x14ac:dyDescent="0.35">
      <c r="A14">
        <v>13</v>
      </c>
      <c r="B14" s="1">
        <v>45689</v>
      </c>
      <c r="C14" t="s">
        <v>2</v>
      </c>
      <c r="D14">
        <v>102.13</v>
      </c>
    </row>
    <row r="15" spans="1:4" x14ac:dyDescent="0.35">
      <c r="A15">
        <v>14</v>
      </c>
      <c r="B15" s="1">
        <v>45690</v>
      </c>
      <c r="C15" t="s">
        <v>3</v>
      </c>
      <c r="D15">
        <v>12.69</v>
      </c>
    </row>
    <row r="16" spans="1:4" x14ac:dyDescent="0.35">
      <c r="A16">
        <v>15</v>
      </c>
      <c r="B16" s="1">
        <v>45696</v>
      </c>
      <c r="C16" t="s">
        <v>0</v>
      </c>
      <c r="D16">
        <v>11.35</v>
      </c>
    </row>
    <row r="17" spans="1:4" x14ac:dyDescent="0.35">
      <c r="A17">
        <v>16</v>
      </c>
      <c r="B17" s="1">
        <v>45698</v>
      </c>
      <c r="C17" t="s">
        <v>1</v>
      </c>
      <c r="D17">
        <v>120.43</v>
      </c>
    </row>
    <row r="18" spans="1:4" x14ac:dyDescent="0.35">
      <c r="A18">
        <v>17</v>
      </c>
      <c r="B18" s="1">
        <v>45704</v>
      </c>
      <c r="C18" t="s">
        <v>2</v>
      </c>
      <c r="D18">
        <v>114.11</v>
      </c>
    </row>
    <row r="19" spans="1:4" x14ac:dyDescent="0.35">
      <c r="A19">
        <v>18</v>
      </c>
      <c r="B19" s="1">
        <v>45711</v>
      </c>
      <c r="C19" t="s">
        <v>0</v>
      </c>
      <c r="D19">
        <v>21.19</v>
      </c>
    </row>
    <row r="20" spans="1:4" x14ac:dyDescent="0.35">
      <c r="A20">
        <v>19</v>
      </c>
      <c r="B20" s="1">
        <v>45720</v>
      </c>
      <c r="C20" t="s">
        <v>3</v>
      </c>
      <c r="D20">
        <v>53.41</v>
      </c>
    </row>
    <row r="21" spans="1:4" x14ac:dyDescent="0.35">
      <c r="A21">
        <v>20</v>
      </c>
      <c r="B21" s="1">
        <v>45720</v>
      </c>
      <c r="C21" t="s">
        <v>4</v>
      </c>
      <c r="D21">
        <v>76.42</v>
      </c>
    </row>
    <row r="22" spans="1:4" x14ac:dyDescent="0.35">
      <c r="A22">
        <v>21</v>
      </c>
      <c r="B22" s="1">
        <v>45731</v>
      </c>
      <c r="C22" t="s">
        <v>4</v>
      </c>
      <c r="D22">
        <v>63.75</v>
      </c>
    </row>
    <row r="23" spans="1:4" x14ac:dyDescent="0.35">
      <c r="A23">
        <v>22</v>
      </c>
      <c r="B23" s="1">
        <v>45731</v>
      </c>
      <c r="C23" t="s">
        <v>3</v>
      </c>
      <c r="D23">
        <v>36.82</v>
      </c>
    </row>
    <row r="24" spans="1:4" x14ac:dyDescent="0.35">
      <c r="A24">
        <v>23</v>
      </c>
      <c r="B24" s="1">
        <v>45735</v>
      </c>
      <c r="C24" t="s">
        <v>3</v>
      </c>
      <c r="D24">
        <v>38.75</v>
      </c>
    </row>
    <row r="25" spans="1:4" x14ac:dyDescent="0.35">
      <c r="A25">
        <v>24</v>
      </c>
      <c r="B25" s="1">
        <v>45737</v>
      </c>
      <c r="C25" t="s">
        <v>4</v>
      </c>
      <c r="D25">
        <v>96.09</v>
      </c>
    </row>
    <row r="26" spans="1:4" x14ac:dyDescent="0.35">
      <c r="A26">
        <v>25</v>
      </c>
      <c r="B26" s="1">
        <v>45739</v>
      </c>
      <c r="C26" t="s">
        <v>2</v>
      </c>
      <c r="D26">
        <v>108.3</v>
      </c>
    </row>
    <row r="27" spans="1:4" x14ac:dyDescent="0.35">
      <c r="A27">
        <v>26</v>
      </c>
      <c r="B27" s="1">
        <v>45749</v>
      </c>
      <c r="C27" t="s">
        <v>0</v>
      </c>
      <c r="D27">
        <v>21.98</v>
      </c>
    </row>
    <row r="28" spans="1:4" x14ac:dyDescent="0.35">
      <c r="A28">
        <v>27</v>
      </c>
      <c r="B28" s="1">
        <v>45751</v>
      </c>
      <c r="C28" t="s">
        <v>1</v>
      </c>
      <c r="D28">
        <v>127.07</v>
      </c>
    </row>
    <row r="29" spans="1:4" x14ac:dyDescent="0.35">
      <c r="A29">
        <v>28</v>
      </c>
      <c r="B29" s="1">
        <v>45751</v>
      </c>
      <c r="C29" t="s">
        <v>0</v>
      </c>
      <c r="D29">
        <v>11.71</v>
      </c>
    </row>
    <row r="30" spans="1:4" x14ac:dyDescent="0.35">
      <c r="A30">
        <v>29</v>
      </c>
      <c r="B30" s="1">
        <v>45758</v>
      </c>
      <c r="C30" t="s">
        <v>2</v>
      </c>
      <c r="D30">
        <v>117.69</v>
      </c>
    </row>
    <row r="31" spans="1:4" x14ac:dyDescent="0.35">
      <c r="A31">
        <v>30</v>
      </c>
      <c r="B31" s="1">
        <v>45761</v>
      </c>
      <c r="C31" t="s">
        <v>2</v>
      </c>
      <c r="D31">
        <v>92.35</v>
      </c>
    </row>
    <row r="32" spans="1:4" x14ac:dyDescent="0.35">
      <c r="A32">
        <v>31</v>
      </c>
      <c r="B32" s="1">
        <v>45770</v>
      </c>
      <c r="C32" t="s">
        <v>4</v>
      </c>
      <c r="D32">
        <v>97.65</v>
      </c>
    </row>
    <row r="33" spans="1:4" x14ac:dyDescent="0.35">
      <c r="A33">
        <v>32</v>
      </c>
      <c r="B33" s="1">
        <v>45778</v>
      </c>
      <c r="C33" t="s">
        <v>4</v>
      </c>
      <c r="D33">
        <v>30.14</v>
      </c>
    </row>
    <row r="34" spans="1:4" x14ac:dyDescent="0.35">
      <c r="A34">
        <v>33</v>
      </c>
      <c r="B34" s="1">
        <v>45779</v>
      </c>
      <c r="C34" t="s">
        <v>1</v>
      </c>
      <c r="D34">
        <v>107.58</v>
      </c>
    </row>
    <row r="35" spans="1:4" x14ac:dyDescent="0.35">
      <c r="A35">
        <v>34</v>
      </c>
      <c r="B35" s="1">
        <v>45783</v>
      </c>
      <c r="C35" t="s">
        <v>4</v>
      </c>
      <c r="D35">
        <v>86.43</v>
      </c>
    </row>
    <row r="36" spans="1:4" x14ac:dyDescent="0.35">
      <c r="A36">
        <v>35</v>
      </c>
      <c r="B36" s="1">
        <v>45786</v>
      </c>
      <c r="C36" t="s">
        <v>4</v>
      </c>
      <c r="D36">
        <v>76.19</v>
      </c>
    </row>
    <row r="37" spans="1:4" x14ac:dyDescent="0.35">
      <c r="A37">
        <v>36</v>
      </c>
      <c r="B37" s="1">
        <v>45791</v>
      </c>
      <c r="C37" t="s">
        <v>2</v>
      </c>
      <c r="D37">
        <v>30.38</v>
      </c>
    </row>
    <row r="38" spans="1:4" x14ac:dyDescent="0.35">
      <c r="A38">
        <v>37</v>
      </c>
      <c r="B38" s="1">
        <v>45791</v>
      </c>
      <c r="C38" t="s">
        <v>0</v>
      </c>
      <c r="D38">
        <v>21.66</v>
      </c>
    </row>
    <row r="39" spans="1:4" x14ac:dyDescent="0.35">
      <c r="A39">
        <v>38</v>
      </c>
      <c r="B39" s="1">
        <v>45797</v>
      </c>
      <c r="C39" t="s">
        <v>2</v>
      </c>
      <c r="D39">
        <v>109.58</v>
      </c>
    </row>
    <row r="40" spans="1:4" x14ac:dyDescent="0.35">
      <c r="A40">
        <v>39</v>
      </c>
      <c r="B40" s="1">
        <v>45799</v>
      </c>
      <c r="C40" t="s">
        <v>3</v>
      </c>
      <c r="D40">
        <v>35.18</v>
      </c>
    </row>
    <row r="41" spans="1:4" x14ac:dyDescent="0.35">
      <c r="A41">
        <v>40</v>
      </c>
      <c r="B41" s="1">
        <v>45800</v>
      </c>
      <c r="C41" t="s">
        <v>3</v>
      </c>
      <c r="D41">
        <v>5.49</v>
      </c>
    </row>
    <row r="42" spans="1:4" x14ac:dyDescent="0.35">
      <c r="A42">
        <v>41</v>
      </c>
      <c r="B42" s="1">
        <v>45801</v>
      </c>
      <c r="C42" t="s">
        <v>0</v>
      </c>
      <c r="D42">
        <v>2.48</v>
      </c>
    </row>
    <row r="43" spans="1:4" x14ac:dyDescent="0.35">
      <c r="A43">
        <v>42</v>
      </c>
      <c r="B43" s="1">
        <v>45802</v>
      </c>
      <c r="C43" t="s">
        <v>1</v>
      </c>
      <c r="D43">
        <v>89.82</v>
      </c>
    </row>
    <row r="44" spans="1:4" x14ac:dyDescent="0.35">
      <c r="A44">
        <v>43</v>
      </c>
      <c r="B44" s="1">
        <v>45822</v>
      </c>
      <c r="C44" t="s">
        <v>1</v>
      </c>
      <c r="D44">
        <v>127.67</v>
      </c>
    </row>
    <row r="45" spans="1:4" x14ac:dyDescent="0.35">
      <c r="A45">
        <v>44</v>
      </c>
      <c r="B45" s="1">
        <v>45840</v>
      </c>
      <c r="C45" t="s">
        <v>3</v>
      </c>
      <c r="D45">
        <v>51.47</v>
      </c>
    </row>
    <row r="46" spans="1:4" x14ac:dyDescent="0.35">
      <c r="A46">
        <v>45</v>
      </c>
      <c r="B46" s="1">
        <v>45842</v>
      </c>
      <c r="C46" t="s">
        <v>1</v>
      </c>
      <c r="D46">
        <v>59.09</v>
      </c>
    </row>
    <row r="47" spans="1:4" x14ac:dyDescent="0.35">
      <c r="A47">
        <v>46</v>
      </c>
      <c r="B47" s="1">
        <v>45844</v>
      </c>
      <c r="C47" t="s">
        <v>3</v>
      </c>
      <c r="D47">
        <v>44.29</v>
      </c>
    </row>
    <row r="48" spans="1:4" x14ac:dyDescent="0.35">
      <c r="A48">
        <v>47</v>
      </c>
      <c r="B48" s="1">
        <v>45848</v>
      </c>
      <c r="C48" t="s">
        <v>2</v>
      </c>
      <c r="D48">
        <v>104.96</v>
      </c>
    </row>
    <row r="49" spans="1:4" x14ac:dyDescent="0.35">
      <c r="A49">
        <v>48</v>
      </c>
      <c r="B49" s="1">
        <v>45859</v>
      </c>
      <c r="C49" t="s">
        <v>2</v>
      </c>
      <c r="D49">
        <v>90.59</v>
      </c>
    </row>
    <row r="50" spans="1:4" x14ac:dyDescent="0.35">
      <c r="A50">
        <v>49</v>
      </c>
      <c r="B50" s="1">
        <v>45873</v>
      </c>
      <c r="C50" t="s">
        <v>1</v>
      </c>
      <c r="D50">
        <v>107.81</v>
      </c>
    </row>
    <row r="51" spans="1:4" x14ac:dyDescent="0.35">
      <c r="A51">
        <v>50</v>
      </c>
      <c r="B51" s="1">
        <v>45883</v>
      </c>
      <c r="C51" t="s">
        <v>4</v>
      </c>
      <c r="D51">
        <v>6.83</v>
      </c>
    </row>
    <row r="52" spans="1:4" x14ac:dyDescent="0.35">
      <c r="A52">
        <v>51</v>
      </c>
      <c r="B52" s="1">
        <v>45885</v>
      </c>
      <c r="C52" t="s">
        <v>1</v>
      </c>
      <c r="D52">
        <v>127.13</v>
      </c>
    </row>
    <row r="53" spans="1:4" x14ac:dyDescent="0.35">
      <c r="A53">
        <v>52</v>
      </c>
      <c r="B53" s="1">
        <v>45891</v>
      </c>
      <c r="C53" t="s">
        <v>3</v>
      </c>
      <c r="D53">
        <v>41.11</v>
      </c>
    </row>
    <row r="54" spans="1:4" x14ac:dyDescent="0.35">
      <c r="A54">
        <v>53</v>
      </c>
      <c r="B54" s="1">
        <v>45893</v>
      </c>
      <c r="C54" t="s">
        <v>4</v>
      </c>
      <c r="D54">
        <v>66.400000000000006</v>
      </c>
    </row>
    <row r="55" spans="1:4" x14ac:dyDescent="0.35">
      <c r="A55">
        <v>54</v>
      </c>
      <c r="B55" s="1">
        <v>45903</v>
      </c>
      <c r="C55" t="s">
        <v>3</v>
      </c>
      <c r="D55">
        <v>59.34</v>
      </c>
    </row>
    <row r="56" spans="1:4" x14ac:dyDescent="0.35">
      <c r="A56">
        <v>55</v>
      </c>
      <c r="B56" s="1">
        <v>45905</v>
      </c>
      <c r="C56" t="s">
        <v>3</v>
      </c>
      <c r="D56">
        <v>52.67</v>
      </c>
    </row>
    <row r="57" spans="1:4" x14ac:dyDescent="0.35">
      <c r="A57">
        <v>56</v>
      </c>
      <c r="B57" s="1">
        <v>45907</v>
      </c>
      <c r="C57" t="s">
        <v>0</v>
      </c>
      <c r="D57">
        <v>12.64</v>
      </c>
    </row>
    <row r="58" spans="1:4" x14ac:dyDescent="0.35">
      <c r="A58">
        <v>57</v>
      </c>
      <c r="B58" s="1">
        <v>45907</v>
      </c>
      <c r="C58" t="s">
        <v>4</v>
      </c>
      <c r="D58">
        <v>3.07</v>
      </c>
    </row>
    <row r="59" spans="1:4" x14ac:dyDescent="0.35">
      <c r="A59">
        <v>58</v>
      </c>
      <c r="B59" s="1">
        <v>45914</v>
      </c>
      <c r="C59" t="s">
        <v>1</v>
      </c>
      <c r="D59">
        <v>86.13</v>
      </c>
    </row>
    <row r="60" spans="1:4" x14ac:dyDescent="0.35">
      <c r="A60">
        <v>59</v>
      </c>
      <c r="B60" s="1">
        <v>45915</v>
      </c>
      <c r="C60" t="s">
        <v>4</v>
      </c>
      <c r="D60">
        <v>59.92</v>
      </c>
    </row>
    <row r="61" spans="1:4" x14ac:dyDescent="0.35">
      <c r="A61">
        <v>60</v>
      </c>
      <c r="B61" s="1">
        <v>45916</v>
      </c>
      <c r="C61" t="s">
        <v>2</v>
      </c>
      <c r="D61">
        <v>99.68</v>
      </c>
    </row>
    <row r="62" spans="1:4" x14ac:dyDescent="0.35">
      <c r="A62">
        <v>61</v>
      </c>
      <c r="B62" s="1">
        <v>45916</v>
      </c>
      <c r="C62" t="s">
        <v>2</v>
      </c>
      <c r="D62">
        <v>76.59</v>
      </c>
    </row>
    <row r="63" spans="1:4" x14ac:dyDescent="0.35">
      <c r="A63">
        <v>62</v>
      </c>
      <c r="B63" s="1">
        <v>45916</v>
      </c>
      <c r="C63" t="s">
        <v>2</v>
      </c>
      <c r="D63">
        <v>73.819999999999993</v>
      </c>
    </row>
    <row r="64" spans="1:4" x14ac:dyDescent="0.35">
      <c r="A64">
        <v>63</v>
      </c>
      <c r="B64" s="1">
        <v>45917</v>
      </c>
      <c r="C64" t="s">
        <v>2</v>
      </c>
      <c r="D64">
        <v>107.26</v>
      </c>
    </row>
    <row r="65" spans="1:4" x14ac:dyDescent="0.35">
      <c r="A65">
        <v>64</v>
      </c>
      <c r="B65" s="1">
        <v>45925</v>
      </c>
      <c r="C65" t="s">
        <v>4</v>
      </c>
      <c r="D65">
        <v>83</v>
      </c>
    </row>
    <row r="66" spans="1:4" x14ac:dyDescent="0.35">
      <c r="A66">
        <v>65</v>
      </c>
      <c r="B66" s="1">
        <v>45933</v>
      </c>
      <c r="C66" t="s">
        <v>2</v>
      </c>
      <c r="D66">
        <v>72.84</v>
      </c>
    </row>
    <row r="67" spans="1:4" x14ac:dyDescent="0.35">
      <c r="A67">
        <v>66</v>
      </c>
      <c r="B67" s="1">
        <v>45938</v>
      </c>
      <c r="C67" t="s">
        <v>4</v>
      </c>
      <c r="D67">
        <v>87.58</v>
      </c>
    </row>
    <row r="68" spans="1:4" x14ac:dyDescent="0.35">
      <c r="A68">
        <v>67</v>
      </c>
      <c r="B68" s="1">
        <v>45939</v>
      </c>
      <c r="C68" t="s">
        <v>0</v>
      </c>
      <c r="D68">
        <v>14.02</v>
      </c>
    </row>
    <row r="69" spans="1:4" x14ac:dyDescent="0.35">
      <c r="A69">
        <v>68</v>
      </c>
      <c r="B69" s="1">
        <v>45941</v>
      </c>
      <c r="C69" t="s">
        <v>0</v>
      </c>
      <c r="D69">
        <v>4.59</v>
      </c>
    </row>
    <row r="70" spans="1:4" x14ac:dyDescent="0.35">
      <c r="A70">
        <v>69</v>
      </c>
      <c r="B70" s="1">
        <v>45941</v>
      </c>
      <c r="C70" t="s">
        <v>3</v>
      </c>
      <c r="D70">
        <v>65.67</v>
      </c>
    </row>
    <row r="71" spans="1:4" x14ac:dyDescent="0.35">
      <c r="A71">
        <v>70</v>
      </c>
      <c r="B71" s="1">
        <v>45942</v>
      </c>
      <c r="C71" t="s">
        <v>3</v>
      </c>
      <c r="D71">
        <v>64.53</v>
      </c>
    </row>
    <row r="72" spans="1:4" x14ac:dyDescent="0.35">
      <c r="A72">
        <v>71</v>
      </c>
      <c r="B72" s="1">
        <v>45943</v>
      </c>
      <c r="C72" t="s">
        <v>1</v>
      </c>
      <c r="D72">
        <v>60.94</v>
      </c>
    </row>
    <row r="73" spans="1:4" x14ac:dyDescent="0.35">
      <c r="A73">
        <v>72</v>
      </c>
      <c r="B73" s="1">
        <v>45947</v>
      </c>
      <c r="C73" t="s">
        <v>1</v>
      </c>
      <c r="D73">
        <v>118.39</v>
      </c>
    </row>
    <row r="74" spans="1:4" x14ac:dyDescent="0.35">
      <c r="A74">
        <v>73</v>
      </c>
      <c r="B74" s="1">
        <v>45950</v>
      </c>
      <c r="C74" t="s">
        <v>3</v>
      </c>
      <c r="D74">
        <v>40.79</v>
      </c>
    </row>
    <row r="75" spans="1:4" x14ac:dyDescent="0.35">
      <c r="A75">
        <v>74</v>
      </c>
      <c r="B75" s="1">
        <v>45950</v>
      </c>
      <c r="C75" t="s">
        <v>0</v>
      </c>
      <c r="D75">
        <v>10.77</v>
      </c>
    </row>
    <row r="76" spans="1:4" x14ac:dyDescent="0.35">
      <c r="A76">
        <v>75</v>
      </c>
      <c r="B76" s="1">
        <v>45967</v>
      </c>
      <c r="C76" t="s">
        <v>1</v>
      </c>
      <c r="D76">
        <v>36.229999999999997</v>
      </c>
    </row>
    <row r="77" spans="1:4" x14ac:dyDescent="0.35">
      <c r="A77">
        <v>76</v>
      </c>
      <c r="B77" s="1">
        <v>45978</v>
      </c>
      <c r="C77" t="s">
        <v>2</v>
      </c>
      <c r="D77">
        <v>20.9</v>
      </c>
    </row>
    <row r="78" spans="1:4" x14ac:dyDescent="0.35">
      <c r="A78">
        <v>77</v>
      </c>
      <c r="B78" s="1">
        <v>45980</v>
      </c>
      <c r="C78" t="s">
        <v>0</v>
      </c>
      <c r="D78">
        <v>19.05</v>
      </c>
    </row>
    <row r="79" spans="1:4" x14ac:dyDescent="0.35">
      <c r="A79">
        <v>78</v>
      </c>
      <c r="B79" s="1">
        <v>45981</v>
      </c>
      <c r="C79" t="s">
        <v>1</v>
      </c>
      <c r="D79">
        <v>116.58</v>
      </c>
    </row>
    <row r="80" spans="1:4" x14ac:dyDescent="0.35">
      <c r="A80">
        <v>79</v>
      </c>
      <c r="B80" s="1">
        <v>45993</v>
      </c>
      <c r="C80" t="s">
        <v>1</v>
      </c>
      <c r="D80">
        <v>10.74</v>
      </c>
    </row>
    <row r="81" spans="1:4" x14ac:dyDescent="0.35">
      <c r="A81">
        <v>80</v>
      </c>
      <c r="B81" s="1">
        <v>46002</v>
      </c>
      <c r="C81" t="s">
        <v>0</v>
      </c>
      <c r="D81">
        <v>1.0900000000000001</v>
      </c>
    </row>
    <row r="82" spans="1:4" x14ac:dyDescent="0.35">
      <c r="A82">
        <v>81</v>
      </c>
      <c r="B82" s="1">
        <v>46005</v>
      </c>
      <c r="C82" t="s">
        <v>1</v>
      </c>
      <c r="D82">
        <v>110.39</v>
      </c>
    </row>
    <row r="83" spans="1:4" x14ac:dyDescent="0.35">
      <c r="A83">
        <v>82</v>
      </c>
      <c r="B83" s="1">
        <v>46007</v>
      </c>
      <c r="C83" t="s">
        <v>3</v>
      </c>
      <c r="D83">
        <v>62.38</v>
      </c>
    </row>
    <row r="84" spans="1:4" x14ac:dyDescent="0.35">
      <c r="A84">
        <v>83</v>
      </c>
      <c r="B84" s="1">
        <v>46008</v>
      </c>
      <c r="C84" t="s">
        <v>1</v>
      </c>
      <c r="D84">
        <v>10.19</v>
      </c>
    </row>
    <row r="85" spans="1:4" x14ac:dyDescent="0.35">
      <c r="A85">
        <v>84</v>
      </c>
      <c r="B85" s="1">
        <v>46009</v>
      </c>
      <c r="C85" t="s">
        <v>0</v>
      </c>
      <c r="D85">
        <v>15.15</v>
      </c>
    </row>
    <row r="86" spans="1:4" x14ac:dyDescent="0.35">
      <c r="A86">
        <v>85</v>
      </c>
      <c r="B86" s="1">
        <v>46010</v>
      </c>
      <c r="C86" t="s">
        <v>2</v>
      </c>
      <c r="D86">
        <v>65.11</v>
      </c>
    </row>
    <row r="87" spans="1:4" x14ac:dyDescent="0.35">
      <c r="A87">
        <v>86</v>
      </c>
      <c r="B87" s="1">
        <v>46014</v>
      </c>
      <c r="C87" t="s">
        <v>2</v>
      </c>
      <c r="D87">
        <v>110.76</v>
      </c>
    </row>
    <row r="88" spans="1:4" x14ac:dyDescent="0.35">
      <c r="A88">
        <v>87</v>
      </c>
      <c r="B88" s="1">
        <v>46014</v>
      </c>
      <c r="C88" t="s">
        <v>4</v>
      </c>
      <c r="D88">
        <v>86.68</v>
      </c>
    </row>
    <row r="89" spans="1:4" x14ac:dyDescent="0.35">
      <c r="A89">
        <v>88</v>
      </c>
      <c r="B89" s="1">
        <v>46016</v>
      </c>
      <c r="C89" t="s">
        <v>4</v>
      </c>
      <c r="D89">
        <v>115.27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BE6CBD-5EE3-4A5D-B22E-32C2ED69C3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XL</vt:lpstr>
      <vt:lpstr>PQ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 Shah Alam</cp:lastModifiedBy>
  <dcterms:created xsi:type="dcterms:W3CDTF">2015-06-05T18:17:20Z</dcterms:created>
  <dcterms:modified xsi:type="dcterms:W3CDTF">2026-05-24T02:19:11Z</dcterms:modified>
</cp:coreProperties>
</file>